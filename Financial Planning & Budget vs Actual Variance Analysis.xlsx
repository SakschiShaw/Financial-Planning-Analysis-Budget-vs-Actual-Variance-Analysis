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a94a010bfca926/Documents/"/>
    </mc:Choice>
  </mc:AlternateContent>
  <xr:revisionPtr revIDLastSave="0" documentId="8_{7B014B77-7CA1-43AB-9381-D0CDA984090A}" xr6:coauthVersionLast="47" xr6:coauthVersionMax="47" xr10:uidLastSave="{00000000-0000-0000-0000-000000000000}"/>
  <bookViews>
    <workbookView xWindow="-108" yWindow="-108" windowWidth="23256" windowHeight="12456" activeTab="4" xr2:uid="{BE6D6BD4-2333-41C9-BF64-272D92DD3B18}"/>
  </bookViews>
  <sheets>
    <sheet name="Financial_Data" sheetId="1" r:id="rId1"/>
    <sheet name="Revenue Trend" sheetId="2" r:id="rId2"/>
    <sheet name="Expense Trend" sheetId="3" r:id="rId3"/>
    <sheet name="Profit Trend" sheetId="4" r:id="rId4"/>
    <sheet name="Pivot Table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  <c r="H3" i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  <c r="F4" i="1"/>
  <c r="F3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<sst xmlns="http://schemas.openxmlformats.org/spreadsheetml/2006/main" count="41" uniqueCount="29">
  <si>
    <t>Month</t>
  </si>
  <si>
    <t>Budget Revenue</t>
  </si>
  <si>
    <t>Actual Revenue</t>
  </si>
  <si>
    <t>Budget Expense</t>
  </si>
  <si>
    <t>Actual Expense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</si>
  <si>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</si>
  <si>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</si>
  <si>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</si>
  <si>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</si>
  <si>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</si>
  <si>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</si>
  <si>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</si>
  <si>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</si>
  <si>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</si>
  <si>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</si>
  <si>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</si>
  <si>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</si>
  <si>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Budget Profit</t>
  </si>
  <si>
    <t>Actual Profit</t>
  </si>
  <si>
    <t>Revenue Variance</t>
  </si>
  <si>
    <t>Expense Variance</t>
  </si>
  <si>
    <t>Profit Variance</t>
  </si>
  <si>
    <t>Revenue Variance %</t>
  </si>
  <si>
    <t>Row Labels</t>
  </si>
  <si>
    <t>Grand Total</t>
  </si>
  <si>
    <t>Sum of Actual Revenue</t>
  </si>
  <si>
    <t>Sum of Actual Expense</t>
  </si>
  <si>
    <t>Sum of Actual Profit</t>
  </si>
  <si>
    <t>Sum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</si>
</sst>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</a:t>
            </a:r>
            <a:r>
              <a:rPr lang="en-IN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Trend Analysis</a:t>
            </a:r>
            <a:endParaRPr lang="en-IN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Financial_Data!$A$1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Financial_Data!$A$2:$A$15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E-47ED-9A25-4B219C77EC2E}"/>
            </c:ext>
          </c:extLst>
        </c:ser>
        <c:ser>
          <c:idx val="1"/>
          <c:order val="1"/>
          <c:tx>
            <c:strRef>
              <c:f>Financial_Data!$B$1</c:f>
              <c:strCache>
                <c:ptCount val="1"/>
                <c:pt idx="0">
                  <c:v>Budget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Financial_Data!$B$2:$B$15</c:f>
              <c:numCache>
                <c:formatCode>General</c:formatCode>
                <c:ptCount val="14"/>
                <c:pt idx="0">
                  <c:v>520000</c:v>
                </c:pt>
                <c:pt idx="1">
                  <c:v>540000</c:v>
                </c:pt>
                <c:pt idx="2">
                  <c:v>560000</c:v>
                </c:pt>
                <c:pt idx="3">
                  <c:v>580000</c:v>
                </c:pt>
                <c:pt idx="4">
                  <c:v>600000</c:v>
                </c:pt>
                <c:pt idx="5">
                  <c:v>620000</c:v>
                </c:pt>
                <c:pt idx="6">
                  <c:v>640000</c:v>
                </c:pt>
                <c:pt idx="7">
                  <c:v>660000</c:v>
                </c:pt>
                <c:pt idx="8">
                  <c:v>680000</c:v>
                </c:pt>
                <c:pt idx="9">
                  <c:v>700000</c:v>
                </c:pt>
                <c:pt idx="10">
                  <c:v>720000</c:v>
                </c:pt>
                <c:pt idx="11">
                  <c:v>750000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EE-47ED-9A25-4B219C77EC2E}"/>
            </c:ext>
          </c:extLst>
        </c:ser>
        <c:ser>
          <c:idx val="2"/>
          <c:order val="2"/>
          <c:tx>
            <c:strRef>
              <c:f>Financial_Data!$C$1</c:f>
              <c:strCache>
                <c:ptCount val="1"/>
                <c:pt idx="0">
                  <c:v>Actual 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Financial_Data!$C$2:$C$15</c:f>
              <c:numCache>
                <c:formatCode>General</c:formatCode>
                <c:ptCount val="14"/>
                <c:pt idx="0">
                  <c:v>545000</c:v>
                </c:pt>
                <c:pt idx="1">
                  <c:v>530000</c:v>
                </c:pt>
                <c:pt idx="2">
                  <c:v>575000</c:v>
                </c:pt>
                <c:pt idx="3">
                  <c:v>600000</c:v>
                </c:pt>
                <c:pt idx="4">
                  <c:v>590000</c:v>
                </c:pt>
                <c:pt idx="5">
                  <c:v>640000</c:v>
                </c:pt>
                <c:pt idx="6">
                  <c:v>660000</c:v>
                </c:pt>
                <c:pt idx="7">
                  <c:v>650000</c:v>
                </c:pt>
                <c:pt idx="8">
                  <c:v>705000</c:v>
                </c:pt>
                <c:pt idx="9">
                  <c:v>720000</c:v>
                </c:pt>
                <c:pt idx="10">
                  <c:v>735000</c:v>
                </c:pt>
                <c:pt idx="11">
                  <c:v>770000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EE-47ED-9A25-4B219C77E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3924448"/>
        <c:axId val="1323924928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Financial_Data!$D$1</c15:sqref>
                        </c15:formulaRef>
                      </c:ext>
                    </c:extLst>
                    <c:strCache>
                      <c:ptCount val="1"/>
                      <c:pt idx="0">
                        <c:v>Budget Expense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Financial_Data!$D$2:$D$15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310000</c:v>
                      </c:pt>
                      <c:pt idx="1">
                        <c:v>320000</c:v>
                      </c:pt>
                      <c:pt idx="2">
                        <c:v>330000</c:v>
                      </c:pt>
                      <c:pt idx="3">
                        <c:v>340000</c:v>
                      </c:pt>
                      <c:pt idx="4">
                        <c:v>350000</c:v>
                      </c:pt>
                      <c:pt idx="5">
                        <c:v>360000</c:v>
                      </c:pt>
                      <c:pt idx="6">
                        <c:v>370000</c:v>
                      </c:pt>
                      <c:pt idx="7">
                        <c:v>380000</c:v>
                      </c:pt>
                      <c:pt idx="8">
                        <c:v>390000</c:v>
                      </c:pt>
                      <c:pt idx="9">
                        <c:v>400000</c:v>
                      </c:pt>
                      <c:pt idx="10">
                        <c:v>410000</c:v>
                      </c:pt>
                      <c:pt idx="11">
                        <c:v>430000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AEE-47ED-9A25-4B219C77EC2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Financial_Data!$E$1</c15:sqref>
                        </c15:formulaRef>
                      </c:ext>
                    </c:extLst>
                    <c:strCache>
                      <c:ptCount val="1"/>
                      <c:pt idx="0">
                        <c:v>Actual Expense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Financial_Data!$E$2:$E$15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325000</c:v>
                      </c:pt>
                      <c:pt idx="1">
                        <c:v>318000</c:v>
                      </c:pt>
                      <c:pt idx="2">
                        <c:v>345000</c:v>
                      </c:pt>
                      <c:pt idx="3">
                        <c:v>350000</c:v>
                      </c:pt>
                      <c:pt idx="4">
                        <c:v>360000</c:v>
                      </c:pt>
                      <c:pt idx="5">
                        <c:v>375000</c:v>
                      </c:pt>
                      <c:pt idx="6">
                        <c:v>390000</c:v>
                      </c:pt>
                      <c:pt idx="7">
                        <c:v>385000</c:v>
                      </c:pt>
                      <c:pt idx="8">
                        <c:v>410000</c:v>
                      </c:pt>
                      <c:pt idx="9">
                        <c:v>420000</c:v>
                      </c:pt>
                      <c:pt idx="10">
                        <c:v>430000</c:v>
                      </c:pt>
                      <c:pt idx="11">
                        <c:v>445000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AEE-47ED-9A25-4B219C77EC2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Financial_Data!$F$1</c15:sqref>
                        </c15:formulaRef>
                      </c:ext>
                    </c:extLst>
                    <c:strCache>
                      <c:ptCount val="1"/>
                      <c:pt idx="0">
                        <c:v>Budget Profit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Financial_Data!$F$2:$F$15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210000</c:v>
                      </c:pt>
                      <c:pt idx="1">
                        <c:v>220000</c:v>
                      </c:pt>
                      <c:pt idx="2">
                        <c:v>230000</c:v>
                      </c:pt>
                      <c:pt idx="3">
                        <c:v>240000</c:v>
                      </c:pt>
                      <c:pt idx="4">
                        <c:v>250000</c:v>
                      </c:pt>
                      <c:pt idx="5">
                        <c:v>260000</c:v>
                      </c:pt>
                      <c:pt idx="6">
                        <c:v>270000</c:v>
                      </c:pt>
                      <c:pt idx="7">
                        <c:v>280000</c:v>
                      </c:pt>
                      <c:pt idx="8">
                        <c:v>290000</c:v>
                      </c:pt>
                      <c:pt idx="9">
                        <c:v>300000</c:v>
                      </c:pt>
                      <c:pt idx="10">
                        <c:v>310000</c:v>
                      </c:pt>
                      <c:pt idx="11">
                        <c:v>320000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AEE-47ED-9A25-4B219C77EC2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Financial_Data!$G$1</c15:sqref>
                        </c15:formulaRef>
                      </c:ext>
                    </c:extLst>
                    <c:strCache>
                      <c:ptCount val="1"/>
                      <c:pt idx="0">
                        <c:v>Actual Profit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Financial_Data!$G$2:$G$15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220000</c:v>
                      </c:pt>
                      <c:pt idx="1">
                        <c:v>212000</c:v>
                      </c:pt>
                      <c:pt idx="2">
                        <c:v>230000</c:v>
                      </c:pt>
                      <c:pt idx="3">
                        <c:v>250000</c:v>
                      </c:pt>
                      <c:pt idx="4">
                        <c:v>230000</c:v>
                      </c:pt>
                      <c:pt idx="5">
                        <c:v>265000</c:v>
                      </c:pt>
                      <c:pt idx="6">
                        <c:v>270000</c:v>
                      </c:pt>
                      <c:pt idx="7">
                        <c:v>265000</c:v>
                      </c:pt>
                      <c:pt idx="8">
                        <c:v>295000</c:v>
                      </c:pt>
                      <c:pt idx="9">
                        <c:v>300000</c:v>
                      </c:pt>
                      <c:pt idx="10">
                        <c:v>305000</c:v>
                      </c:pt>
                      <c:pt idx="11">
                        <c:v>325000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AEE-47ED-9A25-4B219C77EC2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Financial_Data!$H$1</c15:sqref>
                        </c15:formulaRef>
                      </c:ext>
                    </c:extLst>
                    <c:strCache>
                      <c:ptCount val="1"/>
                      <c:pt idx="0">
                        <c:v>Revenue Variance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Financial_Data!$H$2:$H$15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25000</c:v>
                      </c:pt>
                      <c:pt idx="1">
                        <c:v>-10000</c:v>
                      </c:pt>
                      <c:pt idx="2">
                        <c:v>15000</c:v>
                      </c:pt>
                      <c:pt idx="3">
                        <c:v>20000</c:v>
                      </c:pt>
                      <c:pt idx="4">
                        <c:v>-10000</c:v>
                      </c:pt>
                      <c:pt idx="5">
                        <c:v>20000</c:v>
                      </c:pt>
                      <c:pt idx="6">
                        <c:v>20000</c:v>
                      </c:pt>
                      <c:pt idx="7">
                        <c:v>-10000</c:v>
                      </c:pt>
                      <c:pt idx="8">
                        <c:v>25000</c:v>
                      </c:pt>
                      <c:pt idx="9">
                        <c:v>20000</c:v>
                      </c:pt>
                      <c:pt idx="10">
                        <c:v>15000</c:v>
                      </c:pt>
                      <c:pt idx="11">
                        <c:v>20000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AEE-47ED-9A25-4B219C77EC2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Financial_Data!$I$1</c15:sqref>
                        </c15:formulaRef>
                      </c:ext>
                    </c:extLst>
                    <c:strCache>
                      <c:ptCount val="1"/>
                      <c:pt idx="0">
                        <c:v>Expense Variance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Financial_Data!$I$2:$I$15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15000</c:v>
                      </c:pt>
                      <c:pt idx="1">
                        <c:v>-2000</c:v>
                      </c:pt>
                      <c:pt idx="2">
                        <c:v>15000</c:v>
                      </c:pt>
                      <c:pt idx="3">
                        <c:v>10000</c:v>
                      </c:pt>
                      <c:pt idx="4">
                        <c:v>10000</c:v>
                      </c:pt>
                      <c:pt idx="5">
                        <c:v>15000</c:v>
                      </c:pt>
                      <c:pt idx="6">
                        <c:v>20000</c:v>
                      </c:pt>
                      <c:pt idx="7">
                        <c:v>5000</c:v>
                      </c:pt>
                      <c:pt idx="8">
                        <c:v>20000</c:v>
                      </c:pt>
                      <c:pt idx="9">
                        <c:v>20000</c:v>
                      </c:pt>
                      <c:pt idx="10">
                        <c:v>20000</c:v>
                      </c:pt>
                      <c:pt idx="11">
                        <c:v>15000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AEE-47ED-9A25-4B219C77EC2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Financial_Data!$J$1</c15:sqref>
                        </c15:formulaRef>
                      </c:ext>
                    </c:extLst>
                    <c:strCache>
                      <c:ptCount val="1"/>
                      <c:pt idx="0">
                        <c:v>Profit Variance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Financial_Data!$J$2:$J$15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10000</c:v>
                      </c:pt>
                      <c:pt idx="1">
                        <c:v>-8000</c:v>
                      </c:pt>
                      <c:pt idx="2">
                        <c:v>0</c:v>
                      </c:pt>
                      <c:pt idx="3">
                        <c:v>10000</c:v>
                      </c:pt>
                      <c:pt idx="4">
                        <c:v>-20000</c:v>
                      </c:pt>
                      <c:pt idx="5">
                        <c:v>5000</c:v>
                      </c:pt>
                      <c:pt idx="6">
                        <c:v>0</c:v>
                      </c:pt>
                      <c:pt idx="7">
                        <c:v>-15000</c:v>
                      </c:pt>
                      <c:pt idx="8">
                        <c:v>5000</c:v>
                      </c:pt>
                      <c:pt idx="9">
                        <c:v>0</c:v>
                      </c:pt>
                      <c:pt idx="10">
                        <c:v>-5000</c:v>
                      </c:pt>
                      <c:pt idx="11">
                        <c:v>5000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AEE-47ED-9A25-4B219C77EC2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Financial_Data!$K$1</c15:sqref>
                        </c15:formulaRef>
                      </c:ext>
                    </c:extLst>
                    <c:strCache>
                      <c:ptCount val="1"/>
                      <c:pt idx="0">
                        <c:v>Revenue Variance %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Financial_Data!$K$2:$K$15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544999</c:v>
                      </c:pt>
                      <c:pt idx="1">
                        <c:v>529999</c:v>
                      </c:pt>
                      <c:pt idx="2">
                        <c:v>574999</c:v>
                      </c:pt>
                      <c:pt idx="3">
                        <c:v>599999</c:v>
                      </c:pt>
                      <c:pt idx="4">
                        <c:v>589999</c:v>
                      </c:pt>
                      <c:pt idx="5">
                        <c:v>639999</c:v>
                      </c:pt>
                      <c:pt idx="6">
                        <c:v>659999</c:v>
                      </c:pt>
                      <c:pt idx="7">
                        <c:v>649999</c:v>
                      </c:pt>
                      <c:pt idx="8">
                        <c:v>704999</c:v>
                      </c:pt>
                      <c:pt idx="9">
                        <c:v>719999</c:v>
                      </c:pt>
                      <c:pt idx="10">
                        <c:v>734999</c:v>
                      </c:pt>
                      <c:pt idx="11">
                        <c:v>769999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AEE-47ED-9A25-4B219C77EC2E}"/>
                  </c:ext>
                </c:extLst>
              </c15:ser>
            </c15:filteredLineSeries>
          </c:ext>
        </c:extLst>
      </c:lineChart>
      <c:catAx>
        <c:axId val="1323924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924928"/>
        <c:crosses val="autoZero"/>
        <c:auto val="1"/>
        <c:lblAlgn val="ctr"/>
        <c:lblOffset val="100"/>
        <c:noMultiLvlLbl val="0"/>
      </c:catAx>
      <c:valAx>
        <c:axId val="132392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92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Expense</a:t>
            </a:r>
            <a:r>
              <a:rPr lang="en-IN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Trend Analysis</a:t>
            </a:r>
            <a:endParaRPr lang="en-IN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Financial_Data!$D$1</c:f>
              <c:strCache>
                <c:ptCount val="1"/>
                <c:pt idx="0">
                  <c:v>Budget Expense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Financial_Data!$A$2:$A$13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Financial_Data!$D$2:$D$13</c:f>
              <c:numCache>
                <c:formatCode>General</c:formatCode>
                <c:ptCount val="12"/>
                <c:pt idx="0">
                  <c:v>310000</c:v>
                </c:pt>
                <c:pt idx="1">
                  <c:v>320000</c:v>
                </c:pt>
                <c:pt idx="2">
                  <c:v>330000</c:v>
                </c:pt>
                <c:pt idx="3">
                  <c:v>340000</c:v>
                </c:pt>
                <c:pt idx="4">
                  <c:v>350000</c:v>
                </c:pt>
                <c:pt idx="5">
                  <c:v>360000</c:v>
                </c:pt>
                <c:pt idx="6">
                  <c:v>370000</c:v>
                </c:pt>
                <c:pt idx="7">
                  <c:v>380000</c:v>
                </c:pt>
                <c:pt idx="8">
                  <c:v>390000</c:v>
                </c:pt>
                <c:pt idx="9">
                  <c:v>400000</c:v>
                </c:pt>
                <c:pt idx="10">
                  <c:v>410000</c:v>
                </c:pt>
                <c:pt idx="11">
                  <c:v>430000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B-4A7C-8FE1-092E84934583}"/>
            </c:ext>
          </c:extLst>
        </c:ser>
        <c:ser>
          <c:idx val="3"/>
          <c:order val="3"/>
          <c:tx>
            <c:strRef>
              <c:f>Financial_Data!$E$1</c:f>
              <c:strCache>
                <c:ptCount val="1"/>
                <c:pt idx="0">
                  <c:v>Actual Expense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Financial_Data!$A$2:$A$13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Financial_Data!$E$2:$E$13</c:f>
              <c:numCache>
                <c:formatCode>General</c:formatCode>
                <c:ptCount val="12"/>
                <c:pt idx="0">
                  <c:v>325000</c:v>
                </c:pt>
                <c:pt idx="1">
                  <c:v>318000</c:v>
                </c:pt>
                <c:pt idx="2">
                  <c:v>345000</c:v>
                </c:pt>
                <c:pt idx="3">
                  <c:v>350000</c:v>
                </c:pt>
                <c:pt idx="4">
                  <c:v>360000</c:v>
                </c:pt>
                <c:pt idx="5">
                  <c:v>375000</c:v>
                </c:pt>
                <c:pt idx="6">
                  <c:v>390000</c:v>
                </c:pt>
                <c:pt idx="7">
                  <c:v>385000</c:v>
                </c:pt>
                <c:pt idx="8">
                  <c:v>410000</c:v>
                </c:pt>
                <c:pt idx="9">
                  <c:v>420000</c:v>
                </c:pt>
                <c:pt idx="10">
                  <c:v>430000</c:v>
                </c:pt>
                <c:pt idx="11">
                  <c:v>445000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DB-4A7C-8FE1-092E84934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533632"/>
        <c:axId val="13335312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Financial_Data!$B$1</c15:sqref>
                        </c15:formulaRef>
                      </c:ext>
                    </c:extLst>
                    <c:strCache>
                      <c:ptCount val="1"/>
                      <c:pt idx="0">
                        <c:v>Budget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Financial_Data!$B$2:$B$13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520000</c:v>
                      </c:pt>
                      <c:pt idx="1">
                        <c:v>540000</c:v>
                      </c:pt>
                      <c:pt idx="2">
                        <c:v>560000</c:v>
                      </c:pt>
                      <c:pt idx="3">
                        <c:v>580000</c:v>
                      </c:pt>
                      <c:pt idx="4">
                        <c:v>600000</c:v>
                      </c:pt>
                      <c:pt idx="5">
                        <c:v>620000</c:v>
                      </c:pt>
                      <c:pt idx="6">
                        <c:v>640000</c:v>
                      </c:pt>
                      <c:pt idx="7">
                        <c:v>660000</c:v>
                      </c:pt>
                      <c:pt idx="8">
                        <c:v>680000</c:v>
                      </c:pt>
                      <c:pt idx="9">
                        <c:v>700000</c:v>
                      </c:pt>
                      <c:pt idx="10">
                        <c:v>720000</c:v>
                      </c:pt>
                      <c:pt idx="11">
                        <c:v>750000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4DB-4A7C-8FE1-092E8493458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Financial_Data!$C$1</c15:sqref>
                        </c15:formulaRef>
                      </c:ext>
                    </c:extLst>
                    <c:strCache>
                      <c:ptCount val="1"/>
                      <c:pt idx="0">
                        <c:v>Actual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545000</c:v>
                      </c:pt>
                      <c:pt idx="1">
                        <c:v>530000</c:v>
                      </c:pt>
                      <c:pt idx="2">
                        <c:v>575000</c:v>
                      </c:pt>
                      <c:pt idx="3">
                        <c:v>600000</c:v>
                      </c:pt>
                      <c:pt idx="4">
                        <c:v>590000</c:v>
                      </c:pt>
                      <c:pt idx="5">
                        <c:v>640000</c:v>
                      </c:pt>
                      <c:pt idx="6">
                        <c:v>660000</c:v>
                      </c:pt>
                      <c:pt idx="7">
                        <c:v>650000</c:v>
                      </c:pt>
                      <c:pt idx="8">
                        <c:v>705000</c:v>
                      </c:pt>
                      <c:pt idx="9">
                        <c:v>720000</c:v>
                      </c:pt>
                      <c:pt idx="10">
                        <c:v>735000</c:v>
                      </c:pt>
                      <c:pt idx="11">
                        <c:v>770000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B-4A7C-8FE1-092E849345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Financial_Data!$F$1</c15:sqref>
                        </c15:formulaRef>
                      </c:ext>
                    </c:extLst>
                    <c:strCache>
                      <c:ptCount val="1"/>
                      <c:pt idx="0">
                        <c:v>Budget Profit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210000</c:v>
                      </c:pt>
                      <c:pt idx="1">
                        <c:v>220000</c:v>
                      </c:pt>
                      <c:pt idx="2">
                        <c:v>230000</c:v>
                      </c:pt>
                      <c:pt idx="3">
                        <c:v>240000</c:v>
                      </c:pt>
                      <c:pt idx="4">
                        <c:v>250000</c:v>
                      </c:pt>
                      <c:pt idx="5">
                        <c:v>260000</c:v>
                      </c:pt>
                      <c:pt idx="6">
                        <c:v>270000</c:v>
                      </c:pt>
                      <c:pt idx="7">
                        <c:v>280000</c:v>
                      </c:pt>
                      <c:pt idx="8">
                        <c:v>290000</c:v>
                      </c:pt>
                      <c:pt idx="9">
                        <c:v>300000</c:v>
                      </c:pt>
                      <c:pt idx="10">
                        <c:v>310000</c:v>
                      </c:pt>
                      <c:pt idx="11">
                        <c:v>320000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B-4A7C-8FE1-092E849345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Financial_Data!$G$1</c15:sqref>
                        </c15:formulaRef>
                      </c:ext>
                    </c:extLst>
                    <c:strCache>
                      <c:ptCount val="1"/>
                      <c:pt idx="0">
                        <c:v>Actual Profit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220000</c:v>
                      </c:pt>
                      <c:pt idx="1">
                        <c:v>212000</c:v>
                      </c:pt>
                      <c:pt idx="2">
                        <c:v>230000</c:v>
                      </c:pt>
                      <c:pt idx="3">
                        <c:v>250000</c:v>
                      </c:pt>
                      <c:pt idx="4">
                        <c:v>230000</c:v>
                      </c:pt>
                      <c:pt idx="5">
                        <c:v>265000</c:v>
                      </c:pt>
                      <c:pt idx="6">
                        <c:v>270000</c:v>
                      </c:pt>
                      <c:pt idx="7">
                        <c:v>265000</c:v>
                      </c:pt>
                      <c:pt idx="8">
                        <c:v>295000</c:v>
                      </c:pt>
                      <c:pt idx="9">
                        <c:v>300000</c:v>
                      </c:pt>
                      <c:pt idx="10">
                        <c:v>305000</c:v>
                      </c:pt>
                      <c:pt idx="11">
                        <c:v>325000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4DB-4A7C-8FE1-092E849345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Financial_Data!$H$1</c15:sqref>
                        </c15:formulaRef>
                      </c:ext>
                    </c:extLst>
                    <c:strCache>
                      <c:ptCount val="1"/>
                      <c:pt idx="0">
                        <c:v>Revenue Variance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25000</c:v>
                      </c:pt>
                      <c:pt idx="1">
                        <c:v>-10000</c:v>
                      </c:pt>
                      <c:pt idx="2">
                        <c:v>15000</c:v>
                      </c:pt>
                      <c:pt idx="3">
                        <c:v>20000</c:v>
                      </c:pt>
                      <c:pt idx="4">
                        <c:v>-10000</c:v>
                      </c:pt>
                      <c:pt idx="5">
                        <c:v>20000</c:v>
                      </c:pt>
                      <c:pt idx="6">
                        <c:v>20000</c:v>
                      </c:pt>
                      <c:pt idx="7">
                        <c:v>-10000</c:v>
                      </c:pt>
                      <c:pt idx="8">
                        <c:v>25000</c:v>
                      </c:pt>
                      <c:pt idx="9">
                        <c:v>20000</c:v>
                      </c:pt>
                      <c:pt idx="10">
                        <c:v>15000</c:v>
                      </c:pt>
                      <c:pt idx="11">
                        <c:v>20000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B-4A7C-8FE1-092E849345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Financial_Data!$I$1</c15:sqref>
                        </c15:formulaRef>
                      </c:ext>
                    </c:extLst>
                    <c:strCache>
                      <c:ptCount val="1"/>
                      <c:pt idx="0">
                        <c:v>Expense Variance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15000</c:v>
                      </c:pt>
                      <c:pt idx="1">
                        <c:v>-2000</c:v>
                      </c:pt>
                      <c:pt idx="2">
                        <c:v>15000</c:v>
                      </c:pt>
                      <c:pt idx="3">
                        <c:v>10000</c:v>
                      </c:pt>
                      <c:pt idx="4">
                        <c:v>10000</c:v>
                      </c:pt>
                      <c:pt idx="5">
                        <c:v>15000</c:v>
                      </c:pt>
                      <c:pt idx="6">
                        <c:v>20000</c:v>
                      </c:pt>
                      <c:pt idx="7">
                        <c:v>5000</c:v>
                      </c:pt>
                      <c:pt idx="8">
                        <c:v>20000</c:v>
                      </c:pt>
                      <c:pt idx="9">
                        <c:v>20000</c:v>
                      </c:pt>
                      <c:pt idx="10">
                        <c:v>20000</c:v>
                      </c:pt>
                      <c:pt idx="11">
                        <c:v>15000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4DB-4A7C-8FE1-092E849345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Financial_Data!$J$1</c15:sqref>
                        </c15:formulaRef>
                      </c:ext>
                    </c:extLst>
                    <c:strCache>
                      <c:ptCount val="1"/>
                      <c:pt idx="0">
                        <c:v>Profit Variance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10000</c:v>
                      </c:pt>
                      <c:pt idx="1">
                        <c:v>-8000</c:v>
                      </c:pt>
                      <c:pt idx="2">
                        <c:v>0</c:v>
                      </c:pt>
                      <c:pt idx="3">
                        <c:v>10000</c:v>
                      </c:pt>
                      <c:pt idx="4">
                        <c:v>-20000</c:v>
                      </c:pt>
                      <c:pt idx="5">
                        <c:v>5000</c:v>
                      </c:pt>
                      <c:pt idx="6">
                        <c:v>0</c:v>
                      </c:pt>
                      <c:pt idx="7">
                        <c:v>-15000</c:v>
                      </c:pt>
                      <c:pt idx="8">
                        <c:v>5000</c:v>
                      </c:pt>
                      <c:pt idx="9">
                        <c:v>0</c:v>
                      </c:pt>
                      <c:pt idx="10">
                        <c:v>-5000</c:v>
                      </c:pt>
                      <c:pt idx="11">
                        <c:v>5000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4DB-4A7C-8FE1-092E849345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Financial_Data!$K$1</c15:sqref>
                        </c15:formulaRef>
                      </c:ext>
                    </c:extLst>
                    <c:strCache>
                      <c:ptCount val="1"/>
                      <c:pt idx="0">
                        <c:v>Revenue Variance %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Financial_Data!$K$2:$K$13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544999</c:v>
                      </c:pt>
                      <c:pt idx="1">
                        <c:v>529999</c:v>
                      </c:pt>
                      <c:pt idx="2">
                        <c:v>574999</c:v>
                      </c:pt>
                      <c:pt idx="3">
                        <c:v>599999</c:v>
                      </c:pt>
                      <c:pt idx="4">
                        <c:v>589999</c:v>
                      </c:pt>
                      <c:pt idx="5">
                        <c:v>639999</c:v>
                      </c:pt>
                      <c:pt idx="6">
                        <c:v>659999</c:v>
                      </c:pt>
                      <c:pt idx="7">
                        <c:v>649999</c:v>
                      </c:pt>
                      <c:pt idx="8">
                        <c:v>704999</c:v>
                      </c:pt>
                      <c:pt idx="9">
                        <c:v>719999</c:v>
                      </c:pt>
                      <c:pt idx="10">
                        <c:v>734999</c:v>
                      </c:pt>
                      <c:pt idx="11">
                        <c:v>769999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4DB-4A7C-8FE1-092E84934583}"/>
                  </c:ext>
                </c:extLst>
              </c15:ser>
            </c15:filteredLineSeries>
          </c:ext>
        </c:extLst>
      </c:lineChart>
      <c:catAx>
        <c:axId val="133353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31232"/>
        <c:crosses val="autoZero"/>
        <c:auto val="1"/>
        <c:lblAlgn val="ctr"/>
        <c:lblOffset val="100"/>
        <c:noMultiLvlLbl val="0"/>
      </c:catAx>
      <c:valAx>
        <c:axId val="133353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3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Profit</a:t>
            </a:r>
            <a:r>
              <a:rPr lang="en-IN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Trend Analysis</a:t>
            </a:r>
            <a:endParaRPr lang="en-IN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4"/>
          <c:order val="4"/>
          <c:tx>
            <c:strRef>
              <c:f>Financial_Data!$F$1</c:f>
              <c:strCache>
                <c:ptCount val="1"/>
                <c:pt idx="0">
                  <c:v>Budget Profit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Financial_Data!$A$2:$A$13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Financial_Data!$F$2:$F$13</c:f>
              <c:numCache>
                <c:formatCode>General</c:formatCode>
                <c:ptCount val="12"/>
                <c:pt idx="0">
                  <c:v>210000</c:v>
                </c:pt>
                <c:pt idx="1">
                  <c:v>220000</c:v>
                </c:pt>
                <c:pt idx="2">
                  <c:v>230000</c:v>
                </c:pt>
                <c:pt idx="3">
                  <c:v>240000</c:v>
                </c:pt>
                <c:pt idx="4">
                  <c:v>250000</c:v>
                </c:pt>
                <c:pt idx="5">
                  <c:v>260000</c:v>
                </c:pt>
                <c:pt idx="6">
                  <c:v>270000</c:v>
                </c:pt>
                <c:pt idx="7">
                  <c:v>280000</c:v>
                </c:pt>
                <c:pt idx="8">
                  <c:v>290000</c:v>
                </c:pt>
                <c:pt idx="9">
                  <c:v>300000</c:v>
                </c:pt>
                <c:pt idx="10">
                  <c:v>310000</c:v>
                </c:pt>
                <c:pt idx="11">
                  <c:v>320000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F5-49C0-AB1A-E94A0C71E6F6}"/>
            </c:ext>
          </c:extLst>
        </c:ser>
        <c:ser>
          <c:idx val="5"/>
          <c:order val="5"/>
          <c:tx>
            <c:strRef>
              <c:f>Financial_Data!$G$1</c:f>
              <c:strCache>
                <c:ptCount val="1"/>
                <c:pt idx="0">
                  <c:v>Actual Profit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Financial_Data!$A$2:$A$13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Financial_Data!$G$2:$G$13</c:f>
              <c:numCache>
                <c:formatCode>General</c:formatCode>
                <c:ptCount val="12"/>
                <c:pt idx="0">
                  <c:v>220000</c:v>
                </c:pt>
                <c:pt idx="1">
                  <c:v>212000</c:v>
                </c:pt>
                <c:pt idx="2">
                  <c:v>230000</c:v>
                </c:pt>
                <c:pt idx="3">
                  <c:v>250000</c:v>
                </c:pt>
                <c:pt idx="4">
                  <c:v>230000</c:v>
                </c:pt>
                <c:pt idx="5">
                  <c:v>265000</c:v>
                </c:pt>
                <c:pt idx="6">
                  <c:v>270000</c:v>
                </c:pt>
                <c:pt idx="7">
                  <c:v>265000</c:v>
                </c:pt>
                <c:pt idx="8">
                  <c:v>295000</c:v>
                </c:pt>
                <c:pt idx="9">
                  <c:v>300000</c:v>
                </c:pt>
                <c:pt idx="10">
                  <c:v>305000</c:v>
                </c:pt>
                <c:pt idx="11">
                  <c:v>325000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F5-49C0-AB1A-E94A0C71E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8246608"/>
        <c:axId val="12902412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Financial_Data!$B$1</c15:sqref>
                        </c15:formulaRef>
                      </c:ext>
                    </c:extLst>
                    <c:strCache>
                      <c:ptCount val="1"/>
                      <c:pt idx="0">
                        <c:v>Budget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Financial_Data!$B$2:$B$13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520000</c:v>
                      </c:pt>
                      <c:pt idx="1">
                        <c:v>540000</c:v>
                      </c:pt>
                      <c:pt idx="2">
                        <c:v>560000</c:v>
                      </c:pt>
                      <c:pt idx="3">
                        <c:v>580000</c:v>
                      </c:pt>
                      <c:pt idx="4">
                        <c:v>600000</c:v>
                      </c:pt>
                      <c:pt idx="5">
                        <c:v>620000</c:v>
                      </c:pt>
                      <c:pt idx="6">
                        <c:v>640000</c:v>
                      </c:pt>
                      <c:pt idx="7">
                        <c:v>660000</c:v>
                      </c:pt>
                      <c:pt idx="8">
                        <c:v>680000</c:v>
                      </c:pt>
                      <c:pt idx="9">
                        <c:v>700000</c:v>
                      </c:pt>
                      <c:pt idx="10">
                        <c:v>720000</c:v>
                      </c:pt>
                      <c:pt idx="11">
                        <c:v>750000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CF5-49C0-AB1A-E94A0C71E6F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Financial_Data!$C$1</c15:sqref>
                        </c15:formulaRef>
                      </c:ext>
                    </c:extLst>
                    <c:strCache>
                      <c:ptCount val="1"/>
                      <c:pt idx="0">
                        <c:v>Actual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545000</c:v>
                      </c:pt>
                      <c:pt idx="1">
                        <c:v>530000</c:v>
                      </c:pt>
                      <c:pt idx="2">
                        <c:v>575000</c:v>
                      </c:pt>
                      <c:pt idx="3">
                        <c:v>600000</c:v>
                      </c:pt>
                      <c:pt idx="4">
                        <c:v>590000</c:v>
                      </c:pt>
                      <c:pt idx="5">
                        <c:v>640000</c:v>
                      </c:pt>
                      <c:pt idx="6">
                        <c:v>660000</c:v>
                      </c:pt>
                      <c:pt idx="7">
                        <c:v>650000</c:v>
                      </c:pt>
                      <c:pt idx="8">
                        <c:v>705000</c:v>
                      </c:pt>
                      <c:pt idx="9">
                        <c:v>720000</c:v>
                      </c:pt>
                      <c:pt idx="10">
                        <c:v>735000</c:v>
                      </c:pt>
                      <c:pt idx="11">
                        <c:v>770000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CF5-49C0-AB1A-E94A0C71E6F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Financial_Data!$D$1</c15:sqref>
                        </c15:formulaRef>
                      </c:ext>
                    </c:extLst>
                    <c:strCache>
                      <c:ptCount val="1"/>
                      <c:pt idx="0">
                        <c:v>Budget Expense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310000</c:v>
                      </c:pt>
                      <c:pt idx="1">
                        <c:v>320000</c:v>
                      </c:pt>
                      <c:pt idx="2">
                        <c:v>330000</c:v>
                      </c:pt>
                      <c:pt idx="3">
                        <c:v>340000</c:v>
                      </c:pt>
                      <c:pt idx="4">
                        <c:v>350000</c:v>
                      </c:pt>
                      <c:pt idx="5">
                        <c:v>360000</c:v>
                      </c:pt>
                      <c:pt idx="6">
                        <c:v>370000</c:v>
                      </c:pt>
                      <c:pt idx="7">
                        <c:v>380000</c:v>
                      </c:pt>
                      <c:pt idx="8">
                        <c:v>390000</c:v>
                      </c:pt>
                      <c:pt idx="9">
                        <c:v>400000</c:v>
                      </c:pt>
                      <c:pt idx="10">
                        <c:v>410000</c:v>
                      </c:pt>
                      <c:pt idx="11">
                        <c:v>430000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CF5-49C0-AB1A-E94A0C71E6F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Financial_Data!$E$1</c15:sqref>
                        </c15:formulaRef>
                      </c:ext>
                    </c:extLst>
                    <c:strCache>
                      <c:ptCount val="1"/>
                      <c:pt idx="0">
                        <c:v>Actual Expense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325000</c:v>
                      </c:pt>
                      <c:pt idx="1">
                        <c:v>318000</c:v>
                      </c:pt>
                      <c:pt idx="2">
                        <c:v>345000</c:v>
                      </c:pt>
                      <c:pt idx="3">
                        <c:v>350000</c:v>
                      </c:pt>
                      <c:pt idx="4">
                        <c:v>360000</c:v>
                      </c:pt>
                      <c:pt idx="5">
                        <c:v>375000</c:v>
                      </c:pt>
                      <c:pt idx="6">
                        <c:v>390000</c:v>
                      </c:pt>
                      <c:pt idx="7">
                        <c:v>385000</c:v>
                      </c:pt>
                      <c:pt idx="8">
                        <c:v>410000</c:v>
                      </c:pt>
                      <c:pt idx="9">
                        <c:v>420000</c:v>
                      </c:pt>
                      <c:pt idx="10">
                        <c:v>430000</c:v>
                      </c:pt>
                      <c:pt idx="11">
                        <c:v>445000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CF5-49C0-AB1A-E94A0C71E6F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Financial_Data!$H$1</c15:sqref>
                        </c15:formulaRef>
                      </c:ext>
                    </c:extLst>
                    <c:strCache>
                      <c:ptCount val="1"/>
                      <c:pt idx="0">
                        <c:v>Revenue Variance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25000</c:v>
                      </c:pt>
                      <c:pt idx="1">
                        <c:v>-10000</c:v>
                      </c:pt>
                      <c:pt idx="2">
                        <c:v>15000</c:v>
                      </c:pt>
                      <c:pt idx="3">
                        <c:v>20000</c:v>
                      </c:pt>
                      <c:pt idx="4">
                        <c:v>-10000</c:v>
                      </c:pt>
                      <c:pt idx="5">
                        <c:v>20000</c:v>
                      </c:pt>
                      <c:pt idx="6">
                        <c:v>20000</c:v>
                      </c:pt>
                      <c:pt idx="7">
                        <c:v>-10000</c:v>
                      </c:pt>
                      <c:pt idx="8">
                        <c:v>25000</c:v>
                      </c:pt>
                      <c:pt idx="9">
                        <c:v>20000</c:v>
                      </c:pt>
                      <c:pt idx="10">
                        <c:v>15000</c:v>
                      </c:pt>
                      <c:pt idx="11">
                        <c:v>20000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CF5-49C0-AB1A-E94A0C71E6F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Financial_Data!$I$1</c15:sqref>
                        </c15:formulaRef>
                      </c:ext>
                    </c:extLst>
                    <c:strCache>
                      <c:ptCount val="1"/>
                      <c:pt idx="0">
                        <c:v>Expense Variance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15000</c:v>
                      </c:pt>
                      <c:pt idx="1">
                        <c:v>-2000</c:v>
                      </c:pt>
                      <c:pt idx="2">
                        <c:v>15000</c:v>
                      </c:pt>
                      <c:pt idx="3">
                        <c:v>10000</c:v>
                      </c:pt>
                      <c:pt idx="4">
                        <c:v>10000</c:v>
                      </c:pt>
                      <c:pt idx="5">
                        <c:v>15000</c:v>
                      </c:pt>
                      <c:pt idx="6">
                        <c:v>20000</c:v>
                      </c:pt>
                      <c:pt idx="7">
                        <c:v>5000</c:v>
                      </c:pt>
                      <c:pt idx="8">
                        <c:v>20000</c:v>
                      </c:pt>
                      <c:pt idx="9">
                        <c:v>20000</c:v>
                      </c:pt>
                      <c:pt idx="10">
                        <c:v>20000</c:v>
                      </c:pt>
                      <c:pt idx="11">
                        <c:v>15000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CF5-49C0-AB1A-E94A0C71E6F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Financial_Data!$J$1</c15:sqref>
                        </c15:formulaRef>
                      </c:ext>
                    </c:extLst>
                    <c:strCache>
                      <c:ptCount val="1"/>
                      <c:pt idx="0">
                        <c:v>Profit Variance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10000</c:v>
                      </c:pt>
                      <c:pt idx="1">
                        <c:v>-8000</c:v>
                      </c:pt>
                      <c:pt idx="2">
                        <c:v>0</c:v>
                      </c:pt>
                      <c:pt idx="3">
                        <c:v>10000</c:v>
                      </c:pt>
                      <c:pt idx="4">
                        <c:v>-20000</c:v>
                      </c:pt>
                      <c:pt idx="5">
                        <c:v>5000</c:v>
                      </c:pt>
                      <c:pt idx="6">
                        <c:v>0</c:v>
                      </c:pt>
                      <c:pt idx="7">
                        <c:v>-15000</c:v>
                      </c:pt>
                      <c:pt idx="8">
                        <c:v>5000</c:v>
                      </c:pt>
                      <c:pt idx="9">
                        <c:v>0</c:v>
                      </c:pt>
                      <c:pt idx="10">
                        <c:v>-5000</c:v>
                      </c:pt>
                      <c:pt idx="11">
                        <c:v>5000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CF5-49C0-AB1A-E94A0C71E6F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Financial_Data!$K$1</c15:sqref>
                        </c15:formulaRef>
                      </c:ext>
                    </c:extLst>
                    <c:strCache>
                      <c:ptCount val="1"/>
                      <c:pt idx="0">
                        <c:v>Revenue Variance %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Financial_Data!$K$2:$K$13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544999</c:v>
                      </c:pt>
                      <c:pt idx="1">
                        <c:v>529999</c:v>
                      </c:pt>
                      <c:pt idx="2">
                        <c:v>574999</c:v>
                      </c:pt>
                      <c:pt idx="3">
                        <c:v>599999</c:v>
                      </c:pt>
                      <c:pt idx="4">
                        <c:v>589999</c:v>
                      </c:pt>
                      <c:pt idx="5">
                        <c:v>639999</c:v>
                      </c:pt>
                      <c:pt idx="6">
                        <c:v>659999</c:v>
                      </c:pt>
                      <c:pt idx="7">
                        <c:v>649999</c:v>
                      </c:pt>
                      <c:pt idx="8">
                        <c:v>704999</c:v>
                      </c:pt>
                      <c:pt idx="9">
                        <c:v>719999</c:v>
                      </c:pt>
                      <c:pt idx="10">
                        <c:v>734999</c:v>
                      </c:pt>
                      <c:pt idx="11">
                        <c:v>769999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CF5-49C0-AB1A-E94A0C71E6F6}"/>
                  </c:ext>
                </c:extLst>
              </c15:ser>
            </c15:filteredLineSeries>
          </c:ext>
        </c:extLst>
      </c:lineChart>
      <c:catAx>
        <c:axId val="109824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241216"/>
        <c:crosses val="autoZero"/>
        <c:auto val="1"/>
        <c:lblAlgn val="ctr"/>
        <c:lblOffset val="100"/>
        <c:noMultiLvlLbl val="0"/>
      </c:catAx>
      <c:valAx>
        <c:axId val="129024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24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1</xdr:row>
      <xdr:rowOff>38100</xdr:rowOff>
    </xdr:from>
    <xdr:to>
      <xdr:col>15</xdr:col>
      <xdr:colOff>7620</xdr:colOff>
      <xdr:row>20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4F3F2B-5ADD-4FA8-80BB-85B0F1131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1</xdr:row>
      <xdr:rowOff>160020</xdr:rowOff>
    </xdr:from>
    <xdr:to>
      <xdr:col>17</xdr:col>
      <xdr:colOff>15240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FEE457-67F1-43B6-8031-5E0EAB02C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2</xdr:row>
      <xdr:rowOff>30480</xdr:rowOff>
    </xdr:from>
    <xdr:to>
      <xdr:col>16</xdr:col>
      <xdr:colOff>586740</xdr:colOff>
      <xdr:row>20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5F32F5-C493-4720-8E09-AFCA00199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CHI SHAW" refreshedDate="46094.548878819442" createdVersion="8" refreshedVersion="8" minRefreshableVersion="3" recordCount="12" xr:uid="{0CD50E01-082C-43B5-83BC-AEA7CEB0516A}">
  <cacheSource type="worksheet">
    <worksheetSource ref="A1:K13" sheet="Financial_Data"/>
  </cacheSource>
  <cacheFields count="12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Budget Revenue" numFmtId="0">
      <sharedItems containsSemiMixedTypes="0" containsString="0" containsNumber="1" containsInteger="1" minValue="520000" maxValue="750000"/>
    </cacheField>
    <cacheField name="Actual Revenue" numFmtId="0">
      <sharedItems containsSemiMixedTypes="0" containsString="0" containsNumber="1" containsInteger="1" minValue="530000" maxValue="770000"/>
    </cacheField>
    <cacheField name="Budget Expense" numFmtId="0">
      <sharedItems containsSemiMixedTypes="0" containsString="0" containsNumber="1" containsInteger="1" minValue="310000" maxValue="430000"/>
    </cacheField>
    <cacheField name="Actual Expense" numFmtId="0">
      <sharedItems containsSemiMixedTypes="0" containsString="0" containsNumber="1" containsInteger="1" minValue="318000" maxValue="445000"/>
    </cacheField>
    <cacheField name="Budget Profit" numFmtId="0">
      <sharedItems containsSemiMixedTypes="0" containsString="0" containsNumber="1" containsInteger="1" minValue="210000" maxValue="320000"/>
    </cacheField>
    <cacheField name="Actual Profit" numFmtId="0">
      <sharedItems containsSemiMixedTypes="0" containsString="0" containsNumber="1" containsInteger="1" minValue="212000" maxValue="325000"/>
    </cacheField>
    <cacheField name="Revenue Variance" numFmtId="0">
      <sharedItems containsSemiMixedTypes="0" containsString="0" containsNumber="1" containsInteger="1" minValue="-10000" maxValue="25000"/>
    </cacheField>
    <cacheField name="Expense Variance" numFmtId="0">
      <sharedItems containsSemiMixedTypes="0" containsString="0" containsNumber="1" containsInteger="1" minValue="-2000" maxValue="20000"/>
    </cacheField>
    <cacheField name="Profit Variance" numFmtId="0">
      <sharedItems containsSemiMixedTypes="0" containsString="0" containsNumber="1" containsInteger="1" minValue="-20000" maxValue="10000"/>
    </cacheField>
    <cacheField name="Revenue Variance %" numFmtId="9">
      <sharedItems containsSemiMixedTypes="0" containsString="0" containsNumber="1" containsInteger="1" minValue="529999" maxValue="769999"/>
    </cacheField>
    <cacheField name="Profit Margin" numFmtId="0" formula="'Actual Profit'/'Actual Revenu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520000"/>
    <n v="545000"/>
    <n v="310000"/>
    <n v="325000"/>
    <n v="210000"/>
    <n v="220000"/>
    <n v="25000"/>
    <n v="15000"/>
    <n v="10000"/>
    <n v="544999"/>
  </r>
  <r>
    <x v="1"/>
    <n v="540000"/>
    <n v="530000"/>
    <n v="320000"/>
    <n v="318000"/>
    <n v="220000"/>
    <n v="212000"/>
    <n v="-10000"/>
    <n v="-2000"/>
    <n v="-8000"/>
    <n v="529999"/>
  </r>
  <r>
    <x v="2"/>
    <n v="560000"/>
    <n v="575000"/>
    <n v="330000"/>
    <n v="345000"/>
    <n v="230000"/>
    <n v="230000"/>
    <n v="15000"/>
    <n v="15000"/>
    <n v="0"/>
    <n v="574999"/>
  </r>
  <r>
    <x v="3"/>
    <n v="580000"/>
    <n v="600000"/>
    <n v="340000"/>
    <n v="350000"/>
    <n v="240000"/>
    <n v="250000"/>
    <n v="20000"/>
    <n v="10000"/>
    <n v="10000"/>
    <n v="599999"/>
  </r>
  <r>
    <x v="4"/>
    <n v="600000"/>
    <n v="590000"/>
    <n v="350000"/>
    <n v="360000"/>
    <n v="250000"/>
    <n v="230000"/>
    <n v="-10000"/>
    <n v="10000"/>
    <n v="-20000"/>
    <n v="589999"/>
  </r>
  <r>
    <x v="5"/>
    <n v="620000"/>
    <n v="640000"/>
    <n v="360000"/>
    <n v="375000"/>
    <n v="260000"/>
    <n v="265000"/>
    <n v="20000"/>
    <n v="15000"/>
    <n v="5000"/>
    <n v="639999"/>
  </r>
  <r>
    <x v="6"/>
    <n v="640000"/>
    <n v="660000"/>
    <n v="370000"/>
    <n v="390000"/>
    <n v="270000"/>
    <n v="270000"/>
    <n v="20000"/>
    <n v="20000"/>
    <n v="0"/>
    <n v="659999"/>
  </r>
  <r>
    <x v="7"/>
    <n v="660000"/>
    <n v="650000"/>
    <n v="380000"/>
    <n v="385000"/>
    <n v="280000"/>
    <n v="265000"/>
    <n v="-10000"/>
    <n v="5000"/>
    <n v="-15000"/>
    <n v="649999"/>
  </r>
  <r>
    <x v="8"/>
    <n v="680000"/>
    <n v="705000"/>
    <n v="390000"/>
    <n v="410000"/>
    <n v="290000"/>
    <n v="295000"/>
    <n v="25000"/>
    <n v="20000"/>
    <n v="5000"/>
    <n v="704999"/>
  </r>
  <r>
    <x v="9"/>
    <n v="700000"/>
    <n v="720000"/>
    <n v="400000"/>
    <n v="420000"/>
    <n v="300000"/>
    <n v="300000"/>
    <n v="20000"/>
    <n v="20000"/>
    <n v="0"/>
    <n v="719999"/>
  </r>
  <r>
    <x v="10"/>
    <n v="720000"/>
    <n v="735000"/>
    <n v="410000"/>
    <n v="430000"/>
    <n v="310000"/>
    <n v="305000"/>
    <n v="15000"/>
    <n v="20000"/>
    <n v="-5000"/>
    <n v="734999"/>
  </r>
  <r>
    <x v="11"/>
    <n v="750000"/>
    <n v="770000"/>
    <n v="430000"/>
    <n v="445000"/>
    <n v="320000"/>
    <n v="325000"/>
    <n v="20000"/>
    <n v="15000"/>
    <n v="5000"/>
    <n v="76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EFA89-8B39-4CD7-BD88-95D22E46B33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E15" firstHeaderRow="0" firstDataRow="1" firstDataCol="1"/>
  <pivotFields count="1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numFmtId="9" showAll="0"/>
    <pivotField dataField="1" dragToRow="0" dragToCol="0" dragToPag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ctual Revenue" fld="2" baseField="0" baseItem="0"/>
    <dataField name="Sum of Actual Expense" fld="4" baseField="0" baseItem="0"/>
    <dataField name="Sum of Actual Profit" fld="6" baseField="0" baseItem="0"/>
    <dataField name="Sum of Profit Margin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6CE0-65A4-442C-8A08-78255A3230BE}">
  <dimension ref="A1:K13"/>
  <sheetViews>
    <sheetView workbookViewId="0">
      <selection activeCell="N11" sqref="N11"/>
    </sheetView>
  </sheetViews>
  <sheetFormatPr defaultRowHeight="14.4" x14ac:dyDescent="0.3"/>
  <cols>
    <col min="11" max="11" width="13.21875" bestFit="1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x14ac:dyDescent="0.3">
      <c r="A2" s="2" t="s">
        <v>5</v>
      </c>
      <c r="B2" s="2">
        <v>520000</v>
      </c>
      <c r="C2" s="2">
        <v>545000</v>
      </c>
      <c r="D2" s="2">
        <v>310000</v>
      </c>
      <c r="E2" s="2">
        <v>325000</v>
      </c>
      <c r="F2">
        <f>B2-D2</f>
        <v>210000</v>
      </c>
      <c r="G2">
        <f>C2-E2</f>
        <v>220000</v>
      </c>
      <c r="H2">
        <f>C2-B2</f>
        <v>25000</v>
      </c>
      <c r="I2">
        <f>E2-D2</f>
        <v>15000</v>
      </c>
      <c r="J2">
        <f>G2-F2</f>
        <v>10000</v>
      </c>
      <c r="K2" s="3">
        <f>C2-B2/B2</f>
        <v>544999</v>
      </c>
    </row>
    <row r="3" spans="1:11" x14ac:dyDescent="0.3">
      <c r="A3" s="2" t="s">
        <v>6</v>
      </c>
      <c r="B3" s="2">
        <v>540000</v>
      </c>
      <c r="C3" s="2">
        <v>530000</v>
      </c>
      <c r="D3" s="2">
        <v>320000</v>
      </c>
      <c r="E3" s="2">
        <v>318000</v>
      </c>
      <c r="F3">
        <f t="shared" ref="F3:F13" si="0">B3-D3</f>
        <v>220000</v>
      </c>
      <c r="G3">
        <f t="shared" ref="G3:G13" si="1">C3-E3</f>
        <v>212000</v>
      </c>
      <c r="H3">
        <f t="shared" ref="H3:H13" si="2">C3-B3</f>
        <v>-10000</v>
      </c>
      <c r="I3">
        <f t="shared" ref="I3:I13" si="3">E3-D3</f>
        <v>-2000</v>
      </c>
      <c r="J3">
        <f t="shared" ref="J3:J13" si="4">G3-F3</f>
        <v>-8000</v>
      </c>
      <c r="K3" s="3">
        <f t="shared" ref="K3:K13" si="5">C3-B3/B3</f>
        <v>529999</v>
      </c>
    </row>
    <row r="4" spans="1:11" x14ac:dyDescent="0.3">
      <c r="A4" s="2" t="s">
        <v>7</v>
      </c>
      <c r="B4" s="2">
        <v>560000</v>
      </c>
      <c r="C4" s="2">
        <v>575000</v>
      </c>
      <c r="D4" s="2">
        <v>330000</v>
      </c>
      <c r="E4" s="2">
        <v>345000</v>
      </c>
      <c r="F4">
        <f>B4-D4</f>
        <v>230000</v>
      </c>
      <c r="G4">
        <f t="shared" si="1"/>
        <v>230000</v>
      </c>
      <c r="H4">
        <f t="shared" si="2"/>
        <v>15000</v>
      </c>
      <c r="I4">
        <f t="shared" si="3"/>
        <v>15000</v>
      </c>
      <c r="J4">
        <f t="shared" si="4"/>
        <v>0</v>
      </c>
      <c r="K4" s="3">
        <f t="shared" si="5"/>
        <v>574999</v>
      </c>
    </row>
    <row r="5" spans="1:11" x14ac:dyDescent="0.3">
      <c r="A5" s="2" t="s">
        <v>8</v>
      </c>
      <c r="B5" s="2">
        <v>580000</v>
      </c>
      <c r="C5" s="2">
        <v>600000</v>
      </c>
      <c r="D5" s="2">
        <v>340000</v>
      </c>
      <c r="E5" s="2">
        <v>350000</v>
      </c>
      <c r="F5">
        <f t="shared" si="0"/>
        <v>240000</v>
      </c>
      <c r="G5">
        <f t="shared" si="1"/>
        <v>250000</v>
      </c>
      <c r="H5">
        <f t="shared" si="2"/>
        <v>20000</v>
      </c>
      <c r="I5">
        <f t="shared" si="3"/>
        <v>10000</v>
      </c>
      <c r="J5">
        <f t="shared" si="4"/>
        <v>10000</v>
      </c>
      <c r="K5" s="3">
        <f t="shared" si="5"/>
        <v>599999</v>
      </c>
    </row>
    <row r="6" spans="1:11" x14ac:dyDescent="0.3">
      <c r="A6" s="2" t="s">
        <v>9</v>
      </c>
      <c r="B6" s="2">
        <v>600000</v>
      </c>
      <c r="C6" s="2">
        <v>590000</v>
      </c>
      <c r="D6" s="2">
        <v>350000</v>
      </c>
      <c r="E6" s="2">
        <v>360000</v>
      </c>
      <c r="F6">
        <f t="shared" si="0"/>
        <v>250000</v>
      </c>
      <c r="G6">
        <f t="shared" si="1"/>
        <v>230000</v>
      </c>
      <c r="H6">
        <f t="shared" si="2"/>
        <v>-10000</v>
      </c>
      <c r="I6">
        <f t="shared" si="3"/>
        <v>10000</v>
      </c>
      <c r="J6">
        <f t="shared" si="4"/>
        <v>-20000</v>
      </c>
      <c r="K6" s="3">
        <f t="shared" si="5"/>
        <v>589999</v>
      </c>
    </row>
    <row r="7" spans="1:11" x14ac:dyDescent="0.3">
      <c r="A7" s="2" t="s">
        <v>10</v>
      </c>
      <c r="B7" s="2">
        <v>620000</v>
      </c>
      <c r="C7" s="2">
        <v>640000</v>
      </c>
      <c r="D7" s="2">
        <v>360000</v>
      </c>
      <c r="E7" s="2">
        <v>375000</v>
      </c>
      <c r="F7">
        <f t="shared" si="0"/>
        <v>260000</v>
      </c>
      <c r="G7">
        <f t="shared" si="1"/>
        <v>265000</v>
      </c>
      <c r="H7">
        <f t="shared" si="2"/>
        <v>20000</v>
      </c>
      <c r="I7">
        <f t="shared" si="3"/>
        <v>15000</v>
      </c>
      <c r="J7">
        <f t="shared" si="4"/>
        <v>5000</v>
      </c>
      <c r="K7" s="3">
        <f t="shared" si="5"/>
        <v>639999</v>
      </c>
    </row>
    <row r="8" spans="1:11" x14ac:dyDescent="0.3">
      <c r="A8" s="2" t="s">
        <v>11</v>
      </c>
      <c r="B8" s="2">
        <v>640000</v>
      </c>
      <c r="C8" s="2">
        <v>660000</v>
      </c>
      <c r="D8" s="2">
        <v>370000</v>
      </c>
      <c r="E8" s="2">
        <v>390000</v>
      </c>
      <c r="F8">
        <f t="shared" si="0"/>
        <v>270000</v>
      </c>
      <c r="G8">
        <f t="shared" si="1"/>
        <v>270000</v>
      </c>
      <c r="H8">
        <f t="shared" si="2"/>
        <v>20000</v>
      </c>
      <c r="I8">
        <f t="shared" si="3"/>
        <v>20000</v>
      </c>
      <c r="J8">
        <f t="shared" si="4"/>
        <v>0</v>
      </c>
      <c r="K8" s="3">
        <f t="shared" si="5"/>
        <v>659999</v>
      </c>
    </row>
    <row r="9" spans="1:11" x14ac:dyDescent="0.3">
      <c r="A9" s="2" t="s">
        <v>12</v>
      </c>
      <c r="B9" s="2">
        <v>660000</v>
      </c>
      <c r="C9" s="2">
        <v>650000</v>
      </c>
      <c r="D9" s="2">
        <v>380000</v>
      </c>
      <c r="E9" s="2">
        <v>385000</v>
      </c>
      <c r="F9">
        <f t="shared" si="0"/>
        <v>280000</v>
      </c>
      <c r="G9">
        <f t="shared" si="1"/>
        <v>265000</v>
      </c>
      <c r="H9">
        <f t="shared" si="2"/>
        <v>-10000</v>
      </c>
      <c r="I9">
        <f t="shared" si="3"/>
        <v>5000</v>
      </c>
      <c r="J9">
        <f t="shared" si="4"/>
        <v>-15000</v>
      </c>
      <c r="K9" s="3">
        <f t="shared" si="5"/>
        <v>649999</v>
      </c>
    </row>
    <row r="10" spans="1:11" x14ac:dyDescent="0.3">
      <c r="A10" s="2" t="s">
        <v>13</v>
      </c>
      <c r="B10" s="2">
        <v>680000</v>
      </c>
      <c r="C10" s="2">
        <v>705000</v>
      </c>
      <c r="D10" s="2">
        <v>390000</v>
      </c>
      <c r="E10" s="2">
        <v>410000</v>
      </c>
      <c r="F10">
        <f t="shared" si="0"/>
        <v>290000</v>
      </c>
      <c r="G10">
        <f t="shared" si="1"/>
        <v>295000</v>
      </c>
      <c r="H10">
        <f t="shared" si="2"/>
        <v>25000</v>
      </c>
      <c r="I10">
        <f t="shared" si="3"/>
        <v>20000</v>
      </c>
      <c r="J10">
        <f t="shared" si="4"/>
        <v>5000</v>
      </c>
      <c r="K10" s="3">
        <f t="shared" si="5"/>
        <v>704999</v>
      </c>
    </row>
    <row r="11" spans="1:11" x14ac:dyDescent="0.3">
      <c r="A11" s="2" t="s">
        <v>14</v>
      </c>
      <c r="B11" s="2">
        <v>700000</v>
      </c>
      <c r="C11" s="2">
        <v>720000</v>
      </c>
      <c r="D11" s="2">
        <v>400000</v>
      </c>
      <c r="E11" s="2">
        <v>420000</v>
      </c>
      <c r="F11">
        <f t="shared" si="0"/>
        <v>300000</v>
      </c>
      <c r="G11">
        <f t="shared" si="1"/>
        <v>300000</v>
      </c>
      <c r="H11">
        <f t="shared" si="2"/>
        <v>20000</v>
      </c>
      <c r="I11">
        <f t="shared" si="3"/>
        <v>20000</v>
      </c>
      <c r="J11">
        <f t="shared" si="4"/>
        <v>0</v>
      </c>
      <c r="K11" s="3">
        <f t="shared" si="5"/>
        <v>719999</v>
      </c>
    </row>
    <row r="12" spans="1:11" x14ac:dyDescent="0.3">
      <c r="A12" s="2" t="s">
        <v>15</v>
      </c>
      <c r="B12" s="2">
        <v>720000</v>
      </c>
      <c r="C12" s="2">
        <v>735000</v>
      </c>
      <c r="D12" s="2">
        <v>410000</v>
      </c>
      <c r="E12" s="2">
        <v>430000</v>
      </c>
      <c r="F12">
        <f t="shared" si="0"/>
        <v>310000</v>
      </c>
      <c r="G12">
        <f t="shared" si="1"/>
        <v>305000</v>
      </c>
      <c r="H12">
        <f t="shared" si="2"/>
        <v>15000</v>
      </c>
      <c r="I12">
        <f t="shared" si="3"/>
        <v>20000</v>
      </c>
      <c r="J12">
        <f t="shared" si="4"/>
        <v>-5000</v>
      </c>
      <c r="K12" s="3">
        <f t="shared" si="5"/>
        <v>734999</v>
      </c>
    </row>
    <row r="13" spans="1:11" x14ac:dyDescent="0.3">
      <c r="A13" s="2" t="s">
        <v>16</v>
      </c>
      <c r="B13" s="2">
        <v>750000</v>
      </c>
      <c r="C13" s="2">
        <v>770000</v>
      </c>
      <c r="D13" s="2">
        <v>430000</v>
      </c>
      <c r="E13" s="2">
        <v>445000</v>
      </c>
      <c r="F13">
        <f t="shared" si="0"/>
        <v>320000</v>
      </c>
      <c r="G13">
        <f t="shared" si="1"/>
        <v>325000</v>
      </c>
      <c r="H13">
        <f t="shared" si="2"/>
        <v>20000</v>
      </c>
      <c r="I13">
        <f t="shared" si="3"/>
        <v>15000</v>
      </c>
      <c r="J13">
        <f t="shared" si="4"/>
        <v>5000</v>
      </c>
      <c r="K13" s="3">
        <f t="shared" si="5"/>
        <v>769999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17B5-D8F3-4CD6-880C-949A182E3ED4}">
  <dimension ref="A1"/>
  <sheetViews>
    <sheetView workbookViewId="0">
      <selection activeCell="S20" sqref="S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7FC1-7AEF-4D78-999F-7597DD6BC1AD}">
  <dimension ref="A1"/>
  <sheetViews>
    <sheetView workbookViewId="0">
      <selection activeCell="M12" sqref="M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9DA0-1905-4FAF-8E77-30F275D11BE4}">
  <dimension ref="A1"/>
  <sheetViews>
    <sheetView workbookViewId="0">
      <selection activeCell="M23" sqref="M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727C-9A0C-4298-A20B-9EED3B4BEFAD}">
  <dimension ref="A2:E15"/>
  <sheetViews>
    <sheetView tabSelected="1" workbookViewId="0">
      <selection activeCell="L17" sqref="L17"/>
    </sheetView>
  </sheetViews>
  <sheetFormatPr defaultRowHeight="14.4" x14ac:dyDescent="0.3"/>
  <cols>
    <col min="1" max="1" width="12.44140625" bestFit="1" customWidth="1"/>
    <col min="2" max="2" width="19.88671875" bestFit="1" customWidth="1"/>
    <col min="3" max="3" width="19.77734375" bestFit="1" customWidth="1"/>
    <col min="4" max="4" width="17.44140625" bestFit="1" customWidth="1"/>
    <col min="5" max="5" width="17.6640625" bestFit="1" customWidth="1"/>
  </cols>
  <sheetData>
    <row r="2" spans="1:5" x14ac:dyDescent="0.3">
      <c r="A2" s="4" t="s">
        <v>23</v>
      </c>
      <c r="B2" t="s">
        <v>25</v>
      </c>
      <c r="C2" t="s">
        <v>26</v>
      </c>
      <c r="D2" t="s">
        <v>27</v>
      </c>
      <c r="E2" t="s">
        <v>28</v>
      </c>
    </row>
    <row r="3" spans="1:5" x14ac:dyDescent="0.3">
      <c r="A3" s="5" t="s">
        <v>5</v>
      </c>
      <c r="B3">
        <v>545000</v>
      </c>
      <c r="C3">
        <v>325000</v>
      </c>
      <c r="D3">
        <v>220000</v>
      </c>
      <c r="E3">
        <v>0.40366972477064222</v>
      </c>
    </row>
    <row r="4" spans="1:5" x14ac:dyDescent="0.3">
      <c r="A4" s="5" t="s">
        <v>6</v>
      </c>
      <c r="B4">
        <v>530000</v>
      </c>
      <c r="C4">
        <v>318000</v>
      </c>
      <c r="D4">
        <v>212000</v>
      </c>
      <c r="E4">
        <v>0.4</v>
      </c>
    </row>
    <row r="5" spans="1:5" x14ac:dyDescent="0.3">
      <c r="A5" s="5" t="s">
        <v>7</v>
      </c>
      <c r="B5">
        <v>575000</v>
      </c>
      <c r="C5">
        <v>345000</v>
      </c>
      <c r="D5">
        <v>230000</v>
      </c>
      <c r="E5">
        <v>0.4</v>
      </c>
    </row>
    <row r="6" spans="1:5" x14ac:dyDescent="0.3">
      <c r="A6" s="5" t="s">
        <v>8</v>
      </c>
      <c r="B6">
        <v>600000</v>
      </c>
      <c r="C6">
        <v>350000</v>
      </c>
      <c r="D6">
        <v>250000</v>
      </c>
      <c r="E6">
        <v>0.41666666666666669</v>
      </c>
    </row>
    <row r="7" spans="1:5" x14ac:dyDescent="0.3">
      <c r="A7" s="5" t="s">
        <v>9</v>
      </c>
      <c r="B7">
        <v>590000</v>
      </c>
      <c r="C7">
        <v>360000</v>
      </c>
      <c r="D7">
        <v>230000</v>
      </c>
      <c r="E7">
        <v>0.38983050847457629</v>
      </c>
    </row>
    <row r="8" spans="1:5" x14ac:dyDescent="0.3">
      <c r="A8" s="5" t="s">
        <v>10</v>
      </c>
      <c r="B8">
        <v>640000</v>
      </c>
      <c r="C8">
        <v>375000</v>
      </c>
      <c r="D8">
        <v>265000</v>
      </c>
      <c r="E8">
        <v>0.4140625</v>
      </c>
    </row>
    <row r="9" spans="1:5" x14ac:dyDescent="0.3">
      <c r="A9" s="5" t="s">
        <v>11</v>
      </c>
      <c r="B9">
        <v>660000</v>
      </c>
      <c r="C9">
        <v>390000</v>
      </c>
      <c r="D9">
        <v>270000</v>
      </c>
      <c r="E9">
        <v>0.40909090909090912</v>
      </c>
    </row>
    <row r="10" spans="1:5" x14ac:dyDescent="0.3">
      <c r="A10" s="5" t="s">
        <v>12</v>
      </c>
      <c r="B10">
        <v>650000</v>
      </c>
      <c r="C10">
        <v>385000</v>
      </c>
      <c r="D10">
        <v>265000</v>
      </c>
      <c r="E10">
        <v>0.40769230769230769</v>
      </c>
    </row>
    <row r="11" spans="1:5" x14ac:dyDescent="0.3">
      <c r="A11" s="5" t="s">
        <v>13</v>
      </c>
      <c r="B11">
        <v>705000</v>
      </c>
      <c r="C11">
        <v>410000</v>
      </c>
      <c r="D11">
        <v>295000</v>
      </c>
      <c r="E11">
        <v>0.41843971631205673</v>
      </c>
    </row>
    <row r="12" spans="1:5" x14ac:dyDescent="0.3">
      <c r="A12" s="5" t="s">
        <v>14</v>
      </c>
      <c r="B12">
        <v>720000</v>
      </c>
      <c r="C12">
        <v>420000</v>
      </c>
      <c r="D12">
        <v>300000</v>
      </c>
      <c r="E12">
        <v>0.41666666666666669</v>
      </c>
    </row>
    <row r="13" spans="1:5" x14ac:dyDescent="0.3">
      <c r="A13" s="5" t="s">
        <v>15</v>
      </c>
      <c r="B13">
        <v>735000</v>
      </c>
      <c r="C13">
        <v>430000</v>
      </c>
      <c r="D13">
        <v>305000</v>
      </c>
      <c r="E13">
        <v>0.41496598639455784</v>
      </c>
    </row>
    <row r="14" spans="1:5" x14ac:dyDescent="0.3">
      <c r="A14" s="5" t="s">
        <v>16</v>
      </c>
      <c r="B14">
        <v>770000</v>
      </c>
      <c r="C14">
        <v>445000</v>
      </c>
      <c r="D14">
        <v>325000</v>
      </c>
      <c r="E14">
        <v>0.42207792207792205</v>
      </c>
    </row>
    <row r="15" spans="1:5" x14ac:dyDescent="0.3">
      <c r="A15" s="5" t="s">
        <v>24</v>
      </c>
      <c r="B15">
        <v>7720000</v>
      </c>
      <c r="C15">
        <v>4553000</v>
      </c>
      <c r="D15">
        <v>3167000</v>
      </c>
      <c r="E15">
        <v>0.41023316062176168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Financial_Data</vt:lpstr>
      <vt:lpstr>Revenue Trend</vt:lpstr>
      <vt:lpstr>Expense Trend</vt:lpstr>
      <vt:lpstr>Profit Trend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SAKSCHI SHAW</dc:creator>
  <cp:lastModifiedBy>SAKSCHI SHAW</cp:lastModifiedBy>
  <dcterms:created xsi:type="dcterms:W3CDTF">2026-03-13T07:28:38Z</dcterms:created>
  <dcterms:modified xsi:type="dcterms:W3CDTF">2026-03-13T11:28:35Z</dcterms:modified>
</cp:coreProperties>
</file>